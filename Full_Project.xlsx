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_analyst\Excel\"/>
    </mc:Choice>
  </mc:AlternateContent>
  <xr:revisionPtr revIDLastSave="0" documentId="13_ncr:1_{83625AD2-2E99-42CF-86DD-551D347DF034}"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<sst xmlns="http://schemas.openxmlformats.org/spreadsheetml/2006/main" count="16274" uniqueCount="51">
  <si>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</si>
  <si>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</si>
  <si>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</si>
  <si>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</si>
  <si>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</si>
  <si>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</si>
  <si>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</si>
  <si>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</si>
  <si>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</si>
  <si>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</si>
  <si>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</si>
  <si>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</si>
  <si>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</si>
  <si>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</si>
  <si>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</si>
  <si>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</si>
  <si>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</si>
  <si>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</si>
  <si>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</si>
  <si>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</si>
  <si>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</si>
  <si>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</si>
  <si>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</si>
  <si>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</si>
  <si>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</si>
  <si>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</si>
  <si>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</si>
  <si>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</si>
  <si>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</si>
  <si>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</si>
  <si>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</si>
  <si>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</si>
  <si>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</si>
  <si>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</si>
  <si>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</si>
  <si>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</si>
  <si>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</si>
  <si>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</si>
  <si>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</si>
  <si>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</si>
  <si>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</si>
  <si>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</si>
  <si>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</si>
  <si>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</si>
  <si>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</si>
  <si>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</si>
  <si>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More then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</si>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</sst>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Avg</a:t>
            </a:r>
            <a:r>
              <a:rPr lang="hu-HU" baseline="0"/>
              <a:t> income Per Purchase</a:t>
            </a:r>
            <a:endParaRPr lang="hu-H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43913.043478260872</c:v>
                </c:pt>
                <c:pt idx="1">
                  <c:v>45925.925925925927</c:v>
                </c:pt>
              </c:numCache>
            </c:numRef>
          </c:val>
          <c:extLst>
            <c:ext xmlns:c16="http://schemas.microsoft.com/office/drawing/2014/chart" uri="{C3380CC4-5D6E-409C-BE32-E72D297353CC}">
              <c16:uniqueId val="{00000000-C87F-4C34-B965-8860D2110F3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45294.117647058825</c:v>
                </c:pt>
                <c:pt idx="1">
                  <c:v>53777.777777777781</c:v>
                </c:pt>
              </c:numCache>
            </c:numRef>
          </c:val>
          <c:extLst>
            <c:ext xmlns:c16="http://schemas.microsoft.com/office/drawing/2014/chart" uri="{C3380CC4-5D6E-409C-BE32-E72D297353CC}">
              <c16:uniqueId val="{00000001-C87F-4C34-B965-8860D2110F32}"/>
            </c:ext>
          </c:extLst>
        </c:ser>
        <c:dLbls>
          <c:showLegendKey val="0"/>
          <c:showVal val="0"/>
          <c:showCatName val="0"/>
          <c:showSerName val="0"/>
          <c:showPercent val="0"/>
          <c:showBubbleSize val="0"/>
        </c:dLbls>
        <c:gapWidth val="219"/>
        <c:overlap val="-27"/>
        <c:axId val="464510832"/>
        <c:axId val="244825472"/>
      </c:barChart>
      <c:catAx>
        <c:axId val="46451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u-H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44825472"/>
        <c:crosses val="autoZero"/>
        <c:auto val="1"/>
        <c:lblAlgn val="ctr"/>
        <c:lblOffset val="100"/>
        <c:noMultiLvlLbl val="0"/>
      </c:catAx>
      <c:valAx>
        <c:axId val="24482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u-HU"/>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64510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hu-HU"/>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Costumer</a:t>
            </a:r>
            <a:r>
              <a:rPr lang="hu-HU" baseline="0"/>
              <a:t> Commute</a:t>
            </a:r>
            <a:endParaRPr lang="hu-H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then 10 Miles</c:v>
                </c:pt>
              </c:strCache>
            </c:strRef>
          </c:cat>
          <c:val>
            <c:numRef>
              <c:f>'Pivot table'!$B$25:$B$30</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938E-4FE1-9761-3700EE959EA0}"/>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then 10 Miles</c:v>
                </c:pt>
              </c:strCache>
            </c:strRef>
          </c:cat>
          <c:val>
            <c:numRef>
              <c:f>'Pivot table'!$C$25:$C$30</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938E-4FE1-9761-3700EE959EA0}"/>
            </c:ext>
          </c:extLst>
        </c:ser>
        <c:dLbls>
          <c:showLegendKey val="0"/>
          <c:showVal val="0"/>
          <c:showCatName val="0"/>
          <c:showSerName val="0"/>
          <c:showPercent val="0"/>
          <c:showBubbleSize val="0"/>
        </c:dLbls>
        <c:smooth val="0"/>
        <c:axId val="476035424"/>
        <c:axId val="244830272"/>
      </c:lineChart>
      <c:catAx>
        <c:axId val="476035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Commute</a:t>
                </a:r>
                <a:r>
                  <a:rPr lang="hu-HU"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u-H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44830272"/>
        <c:crosses val="autoZero"/>
        <c:auto val="1"/>
        <c:lblAlgn val="ctr"/>
        <c:lblOffset val="100"/>
        <c:noMultiLvlLbl val="0"/>
      </c:catAx>
      <c:valAx>
        <c:axId val="2448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760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Customer</a:t>
            </a:r>
            <a:r>
              <a:rPr lang="hu-HU" baseline="0"/>
              <a:t> Age Brackets</a:t>
            </a:r>
            <a:endParaRPr lang="hu-H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23</c:v>
                </c:pt>
                <c:pt idx="1">
                  <c:v>53</c:v>
                </c:pt>
                <c:pt idx="2">
                  <c:v>24</c:v>
                </c:pt>
              </c:numCache>
            </c:numRef>
          </c:val>
          <c:smooth val="0"/>
          <c:extLst>
            <c:ext xmlns:c16="http://schemas.microsoft.com/office/drawing/2014/chart" uri="{C3380CC4-5D6E-409C-BE32-E72D297353CC}">
              <c16:uniqueId val="{00000000-70A7-427E-BE99-524E34374B5F}"/>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9</c:v>
                </c:pt>
                <c:pt idx="1">
                  <c:v>59</c:v>
                </c:pt>
                <c:pt idx="2">
                  <c:v>11</c:v>
                </c:pt>
              </c:numCache>
            </c:numRef>
          </c:val>
          <c:smooth val="0"/>
          <c:extLst>
            <c:ext xmlns:c16="http://schemas.microsoft.com/office/drawing/2014/chart" uri="{C3380CC4-5D6E-409C-BE32-E72D297353CC}">
              <c16:uniqueId val="{00000001-70A7-427E-BE99-524E34374B5F}"/>
            </c:ext>
          </c:extLst>
        </c:ser>
        <c:dLbls>
          <c:showLegendKey val="0"/>
          <c:showVal val="0"/>
          <c:showCatName val="0"/>
          <c:showSerName val="0"/>
          <c:showPercent val="0"/>
          <c:showBubbleSize val="0"/>
        </c:dLbls>
        <c:marker val="1"/>
        <c:smooth val="0"/>
        <c:axId val="479838704"/>
        <c:axId val="244885952"/>
      </c:lineChart>
      <c:catAx>
        <c:axId val="4798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44885952"/>
        <c:crosses val="autoZero"/>
        <c:auto val="1"/>
        <c:lblAlgn val="ctr"/>
        <c:lblOffset val="100"/>
        <c:noMultiLvlLbl val="0"/>
      </c:catAx>
      <c:valAx>
        <c:axId val="24488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798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table'!$A$62:$A$102</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table'!$B$62:$B$102</c:f>
              <c:numCache>
                <c:formatCode>General</c:formatCode>
                <c:ptCount val="40"/>
                <c:pt idx="1">
                  <c:v>3</c:v>
                </c:pt>
                <c:pt idx="2">
                  <c:v>5</c:v>
                </c:pt>
                <c:pt idx="3">
                  <c:v>3</c:v>
                </c:pt>
                <c:pt idx="4">
                  <c:v>3</c:v>
                </c:pt>
                <c:pt idx="5">
                  <c:v>9</c:v>
                </c:pt>
                <c:pt idx="6">
                  <c:v>8</c:v>
                </c:pt>
                <c:pt idx="7">
                  <c:v>3</c:v>
                </c:pt>
                <c:pt idx="9">
                  <c:v>1</c:v>
                </c:pt>
                <c:pt idx="10">
                  <c:v>3</c:v>
                </c:pt>
                <c:pt idx="13">
                  <c:v>1</c:v>
                </c:pt>
                <c:pt idx="15">
                  <c:v>1</c:v>
                </c:pt>
                <c:pt idx="17">
                  <c:v>2</c:v>
                </c:pt>
                <c:pt idx="18">
                  <c:v>2</c:v>
                </c:pt>
                <c:pt idx="20">
                  <c:v>3</c:v>
                </c:pt>
                <c:pt idx="21">
                  <c:v>1</c:v>
                </c:pt>
                <c:pt idx="22">
                  <c:v>3</c:v>
                </c:pt>
                <c:pt idx="23">
                  <c:v>5</c:v>
                </c:pt>
                <c:pt idx="24">
                  <c:v>5</c:v>
                </c:pt>
                <c:pt idx="25">
                  <c:v>6</c:v>
                </c:pt>
                <c:pt idx="26">
                  <c:v>3</c:v>
                </c:pt>
                <c:pt idx="27">
                  <c:v>5</c:v>
                </c:pt>
                <c:pt idx="28">
                  <c:v>1</c:v>
                </c:pt>
                <c:pt idx="29">
                  <c:v>6</c:v>
                </c:pt>
                <c:pt idx="30">
                  <c:v>2</c:v>
                </c:pt>
                <c:pt idx="31">
                  <c:v>2</c:v>
                </c:pt>
                <c:pt idx="32">
                  <c:v>1</c:v>
                </c:pt>
                <c:pt idx="33">
                  <c:v>1</c:v>
                </c:pt>
                <c:pt idx="34">
                  <c:v>4</c:v>
                </c:pt>
                <c:pt idx="35">
                  <c:v>2</c:v>
                </c:pt>
                <c:pt idx="36">
                  <c:v>3</c:v>
                </c:pt>
                <c:pt idx="37">
                  <c:v>1</c:v>
                </c:pt>
                <c:pt idx="38">
                  <c:v>1</c:v>
                </c:pt>
                <c:pt idx="39">
                  <c:v>1</c:v>
                </c:pt>
              </c:numCache>
            </c:numRef>
          </c:val>
          <c:smooth val="0"/>
          <c:extLst>
            <c:ext xmlns:c16="http://schemas.microsoft.com/office/drawing/2014/chart" uri="{C3380CC4-5D6E-409C-BE32-E72D297353CC}">
              <c16:uniqueId val="{00000000-7B92-44EA-90D1-294E627F53B3}"/>
            </c:ext>
          </c:extLst>
        </c:ser>
        <c:ser>
          <c:idx val="1"/>
          <c:order val="1"/>
          <c:tx>
            <c:strRef>
              <c:f>'Pivot table'!$C$60:$C$61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table'!$A$62:$A$102</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64</c:v>
                </c:pt>
                <c:pt idx="38">
                  <c:v>69</c:v>
                </c:pt>
                <c:pt idx="39">
                  <c:v>78</c:v>
                </c:pt>
              </c:strCache>
            </c:strRef>
          </c:cat>
          <c:val>
            <c:numRef>
              <c:f>'Pivot table'!$C$62:$C$102</c:f>
              <c:numCache>
                <c:formatCode>General</c:formatCode>
                <c:ptCount val="40"/>
                <c:pt idx="0">
                  <c:v>1</c:v>
                </c:pt>
                <c:pt idx="2">
                  <c:v>3</c:v>
                </c:pt>
                <c:pt idx="3">
                  <c:v>5</c:v>
                </c:pt>
                <c:pt idx="6">
                  <c:v>3</c:v>
                </c:pt>
                <c:pt idx="7">
                  <c:v>2</c:v>
                </c:pt>
                <c:pt idx="8">
                  <c:v>2</c:v>
                </c:pt>
                <c:pt idx="9">
                  <c:v>4</c:v>
                </c:pt>
                <c:pt idx="10">
                  <c:v>2</c:v>
                </c:pt>
                <c:pt idx="11">
                  <c:v>2</c:v>
                </c:pt>
                <c:pt idx="12">
                  <c:v>2</c:v>
                </c:pt>
                <c:pt idx="13">
                  <c:v>2</c:v>
                </c:pt>
                <c:pt idx="14">
                  <c:v>1</c:v>
                </c:pt>
                <c:pt idx="15">
                  <c:v>3</c:v>
                </c:pt>
                <c:pt idx="16">
                  <c:v>1</c:v>
                </c:pt>
                <c:pt idx="17">
                  <c:v>1</c:v>
                </c:pt>
                <c:pt idx="18">
                  <c:v>1</c:v>
                </c:pt>
                <c:pt idx="19">
                  <c:v>2</c:v>
                </c:pt>
                <c:pt idx="20">
                  <c:v>1</c:v>
                </c:pt>
                <c:pt idx="21">
                  <c:v>2</c:v>
                </c:pt>
                <c:pt idx="22">
                  <c:v>2</c:v>
                </c:pt>
                <c:pt idx="23">
                  <c:v>2</c:v>
                </c:pt>
                <c:pt idx="24">
                  <c:v>7</c:v>
                </c:pt>
                <c:pt idx="25">
                  <c:v>4</c:v>
                </c:pt>
                <c:pt idx="26">
                  <c:v>3</c:v>
                </c:pt>
                <c:pt idx="27">
                  <c:v>4</c:v>
                </c:pt>
                <c:pt idx="28">
                  <c:v>6</c:v>
                </c:pt>
                <c:pt idx="29">
                  <c:v>1</c:v>
                </c:pt>
                <c:pt idx="30">
                  <c:v>2</c:v>
                </c:pt>
                <c:pt idx="32">
                  <c:v>3</c:v>
                </c:pt>
                <c:pt idx="33">
                  <c:v>1</c:v>
                </c:pt>
                <c:pt idx="34">
                  <c:v>2</c:v>
                </c:pt>
                <c:pt idx="35">
                  <c:v>1</c:v>
                </c:pt>
                <c:pt idx="36">
                  <c:v>1</c:v>
                </c:pt>
              </c:numCache>
            </c:numRef>
          </c:val>
          <c:smooth val="0"/>
          <c:extLst>
            <c:ext xmlns:c16="http://schemas.microsoft.com/office/drawing/2014/chart" uri="{C3380CC4-5D6E-409C-BE32-E72D297353CC}">
              <c16:uniqueId val="{00000001-7B92-44EA-90D1-294E627F53B3}"/>
            </c:ext>
          </c:extLst>
        </c:ser>
        <c:dLbls>
          <c:showLegendKey val="0"/>
          <c:showVal val="0"/>
          <c:showCatName val="0"/>
          <c:showSerName val="0"/>
          <c:showPercent val="0"/>
          <c:showBubbleSize val="0"/>
        </c:dLbls>
        <c:marker val="1"/>
        <c:smooth val="0"/>
        <c:axId val="480236144"/>
        <c:axId val="228689632"/>
      </c:lineChart>
      <c:catAx>
        <c:axId val="48023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28689632"/>
        <c:crosses val="autoZero"/>
        <c:auto val="1"/>
        <c:lblAlgn val="ctr"/>
        <c:lblOffset val="100"/>
        <c:noMultiLvlLbl val="0"/>
      </c:catAx>
      <c:valAx>
        <c:axId val="22868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8023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Avg</a:t>
            </a:r>
            <a:r>
              <a:rPr lang="hu-HU" baseline="0"/>
              <a:t> income Per Purchase</a:t>
            </a:r>
            <a:endParaRPr lang="hu-H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43913.043478260872</c:v>
                </c:pt>
                <c:pt idx="1">
                  <c:v>45925.925925925927</c:v>
                </c:pt>
              </c:numCache>
            </c:numRef>
          </c:val>
          <c:extLst>
            <c:ext xmlns:c16="http://schemas.microsoft.com/office/drawing/2014/chart" uri="{C3380CC4-5D6E-409C-BE32-E72D297353CC}">
              <c16:uniqueId val="{00000000-8068-46BD-8EE2-9322B264B8C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45294.117647058825</c:v>
                </c:pt>
                <c:pt idx="1">
                  <c:v>53777.777777777781</c:v>
                </c:pt>
              </c:numCache>
            </c:numRef>
          </c:val>
          <c:extLst>
            <c:ext xmlns:c16="http://schemas.microsoft.com/office/drawing/2014/chart" uri="{C3380CC4-5D6E-409C-BE32-E72D297353CC}">
              <c16:uniqueId val="{00000001-8068-46BD-8EE2-9322B264B8C5}"/>
            </c:ext>
          </c:extLst>
        </c:ser>
        <c:dLbls>
          <c:showLegendKey val="0"/>
          <c:showVal val="0"/>
          <c:showCatName val="0"/>
          <c:showSerName val="0"/>
          <c:showPercent val="0"/>
          <c:showBubbleSize val="0"/>
        </c:dLbls>
        <c:gapWidth val="219"/>
        <c:overlap val="-27"/>
        <c:axId val="464510832"/>
        <c:axId val="244825472"/>
      </c:barChart>
      <c:catAx>
        <c:axId val="464510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u-HU"/>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44825472"/>
        <c:crosses val="autoZero"/>
        <c:auto val="1"/>
        <c:lblAlgn val="ctr"/>
        <c:lblOffset val="100"/>
        <c:noMultiLvlLbl val="0"/>
      </c:catAx>
      <c:valAx>
        <c:axId val="244825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hu-HU"/>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64510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hu-HU"/>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hu-HU"/>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hu-H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then 10 Miles</c:v>
                </c:pt>
              </c:strCache>
            </c:strRef>
          </c:cat>
          <c:val>
            <c:numRef>
              <c:f>'Pivot table'!$B$25:$B$30</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F850-475B-9A6B-6DD43A5865AD}"/>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then 10 Miles</c:v>
                </c:pt>
              </c:strCache>
            </c:strRef>
          </c:cat>
          <c:val>
            <c:numRef>
              <c:f>'Pivot table'!$C$25:$C$30</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1-F850-475B-9A6B-6DD43A5865AD}"/>
            </c:ext>
          </c:extLst>
        </c:ser>
        <c:dLbls>
          <c:showLegendKey val="0"/>
          <c:showVal val="0"/>
          <c:showCatName val="0"/>
          <c:showSerName val="0"/>
          <c:showPercent val="0"/>
          <c:showBubbleSize val="0"/>
        </c:dLbls>
        <c:marker val="1"/>
        <c:smooth val="0"/>
        <c:axId val="476035424"/>
        <c:axId val="244830272"/>
      </c:lineChart>
      <c:catAx>
        <c:axId val="476035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hu-HU"/>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hu-HU"/>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u-HU"/>
          </a:p>
        </c:txPr>
        <c:crossAx val="244830272"/>
        <c:crosses val="autoZero"/>
        <c:auto val="1"/>
        <c:lblAlgn val="ctr"/>
        <c:lblOffset val="100"/>
        <c:noMultiLvlLbl val="0"/>
      </c:catAx>
      <c:valAx>
        <c:axId val="2448302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u-HU"/>
          </a:p>
        </c:txPr>
        <c:crossAx val="47603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Customer</a:t>
            </a:r>
            <a:r>
              <a:rPr lang="hu-HU" baseline="0"/>
              <a:t> Age Brackets</a:t>
            </a:r>
            <a:endParaRPr lang="hu-H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u-H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23</c:v>
                </c:pt>
                <c:pt idx="1">
                  <c:v>53</c:v>
                </c:pt>
                <c:pt idx="2">
                  <c:v>24</c:v>
                </c:pt>
              </c:numCache>
            </c:numRef>
          </c:val>
          <c:smooth val="0"/>
          <c:extLst>
            <c:ext xmlns:c16="http://schemas.microsoft.com/office/drawing/2014/chart" uri="{C3380CC4-5D6E-409C-BE32-E72D297353CC}">
              <c16:uniqueId val="{00000000-2D73-4E30-9DA5-158071D8E3F9}"/>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9</c:v>
                </c:pt>
                <c:pt idx="1">
                  <c:v>59</c:v>
                </c:pt>
                <c:pt idx="2">
                  <c:v>11</c:v>
                </c:pt>
              </c:numCache>
            </c:numRef>
          </c:val>
          <c:smooth val="0"/>
          <c:extLst>
            <c:ext xmlns:c16="http://schemas.microsoft.com/office/drawing/2014/chart" uri="{C3380CC4-5D6E-409C-BE32-E72D297353CC}">
              <c16:uniqueId val="{00000001-2D73-4E30-9DA5-158071D8E3F9}"/>
            </c:ext>
          </c:extLst>
        </c:ser>
        <c:dLbls>
          <c:showLegendKey val="0"/>
          <c:showVal val="0"/>
          <c:showCatName val="0"/>
          <c:showSerName val="0"/>
          <c:showPercent val="0"/>
          <c:showBubbleSize val="0"/>
        </c:dLbls>
        <c:marker val="1"/>
        <c:smooth val="0"/>
        <c:axId val="479838704"/>
        <c:axId val="244885952"/>
      </c:lineChart>
      <c:catAx>
        <c:axId val="4798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244885952"/>
        <c:crosses val="autoZero"/>
        <c:auto val="1"/>
        <c:lblAlgn val="ctr"/>
        <c:lblOffset val="100"/>
        <c:noMultiLvlLbl val="0"/>
      </c:catAx>
      <c:valAx>
        <c:axId val="24488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47983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9524</xdr:colOff>
      <xdr:row>1</xdr:row>
      <xdr:rowOff>4762</xdr:rowOff>
    </xdr:from>
    <xdr:to>
      <xdr:col>14</xdr:col>
      <xdr:colOff>357187</xdr:colOff>
      <xdr:row>19</xdr:row>
      <xdr:rowOff>76200</xdr:rowOff>
    </xdr:to>
    <xdr:graphicFrame macro="">
      <xdr:nvGraphicFramePr>
        <xdr:cNvPr id="2" name="Chart 1">
          <a:extLst>
            <a:ext uri="{FF2B5EF4-FFF2-40B4-BE49-F238E27FC236}">
              <a16:creationId xmlns:a16="http://schemas.microsoft.com/office/drawing/2014/main" id="{3B5EBC2F-D342-7501-9BD1-D46B2AFE5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21</xdr:row>
      <xdr:rowOff>138111</xdr:rowOff>
    </xdr:from>
    <xdr:to>
      <xdr:col>14</xdr:col>
      <xdr:colOff>26988</xdr:colOff>
      <xdr:row>39</xdr:row>
      <xdr:rowOff>28574</xdr:rowOff>
    </xdr:to>
    <xdr:graphicFrame macro="">
      <xdr:nvGraphicFramePr>
        <xdr:cNvPr id="3" name="Chart 2">
          <a:extLst>
            <a:ext uri="{FF2B5EF4-FFF2-40B4-BE49-F238E27FC236}">
              <a16:creationId xmlns:a16="http://schemas.microsoft.com/office/drawing/2014/main" id="{3C32FF5A-1577-8844-9AF7-5D7AEC8AE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40</xdr:row>
      <xdr:rowOff>185736</xdr:rowOff>
    </xdr:from>
    <xdr:to>
      <xdr:col>11</xdr:col>
      <xdr:colOff>598538</xdr:colOff>
      <xdr:row>58</xdr:row>
      <xdr:rowOff>133349</xdr:rowOff>
    </xdr:to>
    <xdr:graphicFrame macro="">
      <xdr:nvGraphicFramePr>
        <xdr:cNvPr id="4" name="Chart 3">
          <a:extLst>
            <a:ext uri="{FF2B5EF4-FFF2-40B4-BE49-F238E27FC236}">
              <a16:creationId xmlns:a16="http://schemas.microsoft.com/office/drawing/2014/main" id="{5D00BBC9-1489-79FB-FAC8-6F9A91806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723899</xdr:colOff>
      <xdr:row>59</xdr:row>
      <xdr:rowOff>33337</xdr:rowOff>
    </xdr:from>
    <xdr:to>
      <xdr:col>11</xdr:col>
      <xdr:colOff>604837</xdr:colOff>
      <xdr:row>78</xdr:row>
      <xdr:rowOff>85725</xdr:rowOff>
    </xdr:to>
    <xdr:graphicFrame macro="">
      <xdr:nvGraphicFramePr>
        <xdr:cNvPr id="5" name="Chart 4">
          <a:extLst>
            <a:ext uri="{FF2B5EF4-FFF2-40B4-BE49-F238E27FC236}">
              <a16:creationId xmlns:a16="http://schemas.microsoft.com/office/drawing/2014/main" id="{C20B3411-5370-A369-AE96-40DFE874A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54150</xdr:rowOff>
    </xdr:from>
    <xdr:to>
      <xdr:col>7</xdr:col>
      <xdr:colOff>309841</xdr:colOff>
      <xdr:row>20</xdr:row>
      <xdr:rowOff>0</xdr:rowOff>
    </xdr:to>
    <xdr:graphicFrame macro="">
      <xdr:nvGraphicFramePr>
        <xdr:cNvPr id="2" name="Chart 1">
          <a:extLst>
            <a:ext uri="{FF2B5EF4-FFF2-40B4-BE49-F238E27FC236}">
              <a16:creationId xmlns:a16="http://schemas.microsoft.com/office/drawing/2014/main" id="{01FA0239-67E8-4A95-B531-BECE502CD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28575</xdr:rowOff>
    </xdr:from>
    <xdr:to>
      <xdr:col>14</xdr:col>
      <xdr:colOff>104582</xdr:colOff>
      <xdr:row>34</xdr:row>
      <xdr:rowOff>0</xdr:rowOff>
    </xdr:to>
    <xdr:graphicFrame macro="">
      <xdr:nvGraphicFramePr>
        <xdr:cNvPr id="3" name="Chart 2">
          <a:extLst>
            <a:ext uri="{FF2B5EF4-FFF2-40B4-BE49-F238E27FC236}">
              <a16:creationId xmlns:a16="http://schemas.microsoft.com/office/drawing/2014/main" id="{9F583F76-4ACF-4C0B-AD9E-DD8DECB4C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358587</xdr:colOff>
      <xdr:row>6</xdr:row>
      <xdr:rowOff>52552</xdr:rowOff>
    </xdr:from>
    <xdr:to>
      <xdr:col>14</xdr:col>
      <xdr:colOff>104582</xdr:colOff>
      <xdr:row>20</xdr:row>
      <xdr:rowOff>0</xdr:rowOff>
    </xdr:to>
    <xdr:graphicFrame macro="">
      <xdr:nvGraphicFramePr>
        <xdr:cNvPr id="4" name="Chart 3">
          <a:extLst>
            <a:ext uri="{FF2B5EF4-FFF2-40B4-BE49-F238E27FC236}">
              <a16:creationId xmlns:a16="http://schemas.microsoft.com/office/drawing/2014/main" id="{F8CFDD24-3D32-488E-AE98-E9EB954A8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591671</xdr:colOff>
      <xdr:row>6</xdr:row>
      <xdr:rowOff>53228</xdr:rowOff>
    </xdr:from>
    <xdr:to>
      <xdr:col>18</xdr:col>
      <xdr:colOff>0</xdr:colOff>
      <xdr:row>11</xdr:row>
      <xdr:rowOff>44824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C4E9496-7421-D76B-3CE8-3F7EC4D1BDD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063318" y="1196228"/>
              <a:ext cx="1828800" cy="944096"/>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591671</xdr:colOff>
      <xdr:row>11</xdr:row>
      <xdr:rowOff>39221</xdr:rowOff>
    </xdr:from>
    <xdr:to>
      <xdr:col>18</xdr:col>
      <xdr:colOff>0</xdr:colOff>
      <xdr:row>21</xdr:row>
      <xdr:rowOff>39221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B9D18BB-5CD6-785F-EEC3-E4E8DE9C28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063318" y="2134721"/>
              <a:ext cx="1828800" cy="1905000"/>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591671</xdr:colOff>
      <xdr:row>21</xdr:row>
      <xdr:rowOff>33618</xdr:rowOff>
    </xdr:from>
    <xdr:to>
      <xdr:col>18</xdr:col>
      <xdr:colOff>0</xdr:colOff>
      <xdr:row>28</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B4AF690-1E33-5933-E87C-56F617E7B8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63318" y="4034118"/>
              <a:ext cx="1828800" cy="1299882"/>
            </a:xfrm>
            <a:prstGeom prst="rect">
              <a:avLst/>
            </a:prstGeom>
            <a:solidFill>
              <a:prstClr val="white"/>
            </a:solidFill>
            <a:ln w="1">
              <a:solidFill>
                <a:prstClr val="green"/>
              </a:solidFill>
            </a:ln>
          </xdr:spPr>
          <xdr:txBody>
            <a:bodyPr vertOverflow="clip" horzOverflow="clip"/>
            <a:lstStyle/>
            <a:p>
              <a:r>
                <a:rPr lang="hu-H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vács Domonkos" refreshedDate="46287.815574421293" createdVersion="8" refreshedVersion="8" minRefreshableVersion="3" recordCount="1000" xr:uid="{76F255ED-2862-4ABD-9F06-FFAF42A9C0D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226838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B6BC71-0879-4832-922B-B54B9F8A9230}"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0:D102"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m="1" x="3"/>
        <item x="0"/>
        <item x="1"/>
        <item t="default"/>
      </items>
    </pivotField>
    <pivotField axis="axisCol" dataField="1" showAll="0">
      <items count="3">
        <item x="0"/>
        <item x="1"/>
        <item t="default"/>
      </items>
    </pivotField>
  </pivotFields>
  <rowFields count="1">
    <field x="11"/>
  </rowFields>
  <rowItems count="41">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2"/>
    </i>
    <i>
      <x v="33"/>
    </i>
    <i>
      <x v="34"/>
    </i>
    <i>
      <x v="35"/>
    </i>
    <i>
      <x v="36"/>
    </i>
    <i>
      <x v="37"/>
    </i>
    <i>
      <x v="39"/>
    </i>
    <i>
      <x v="44"/>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AF64DE-ED33-4033-B44C-F347290E9E3B}"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7"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D68BF-B8D0-4168-94A5-1454D690FEDD}"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F5DB9-3595-4C0F-AFB7-2EC9C511F45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59F4822-A0DE-4AFE-B510-7A99A3B7ABF3}" sourceName="Marital Status">
  <pivotTables>
    <pivotTable tabId="3" name="PivotTable1"/>
    <pivotTable tabId="3" name="PivotTable2"/>
    <pivotTable tabId="3" name="PivotTable3"/>
    <pivotTable tabId="3" name="PivotTable4"/>
  </pivotTables>
  <data>
    <tabular pivotCacheId="12268381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6AFC0FB-62CF-412A-AFCF-F73CD9259202}" sourceName="Education">
  <pivotTables>
    <pivotTable tabId="3" name="PivotTable1"/>
    <pivotTable tabId="3" name="PivotTable2"/>
    <pivotTable tabId="3" name="PivotTable3"/>
    <pivotTable tabId="3" name="PivotTable4"/>
  </pivotTables>
  <data>
    <tabular pivotCacheId="1226838143">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A1CFA7F-FAA5-46F9-A747-DC4362F830BC}" sourceName="Region">
  <pivotTables>
    <pivotTable tabId="3" name="PivotTable1"/>
    <pivotTable tabId="3" name="PivotTable2"/>
    <pivotTable tabId="3" name="PivotTable3"/>
    <pivotTable tabId="3" name="PivotTable4"/>
  </pivotTables>
  <data>
    <tabular pivotCacheId="12268381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2B0D055-7B6B-45A2-AFF4-D1C1001F8101}" cache="Slicer_Marital_Status" caption="Marital Status" rowHeight="241300"/>
  <slicer name="Education" xr10:uid="{5D9F7516-EE39-4402-8825-4393A35E06A1}" cache="Slicer_Education" caption="Education" rowHeight="241300"/>
  <slicer name="Region" xr10:uid="{3A90D052-F02D-4499-BE1B-4B15E193E31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359C-D99B-4B29-9ADB-5D05D126F89B}">
  <dimension ref="A1:N1001"/>
  <sheetViews>
    <sheetView workbookViewId="0">
      <selection activeCell="M2" sqref="M2"/>
    </sheetView>
  </sheetViews>
  <sheetFormatPr defaultRowHeight="15" x14ac:dyDescent="0.25"/>
  <cols>
    <col min="1" max="1" width="10.85546875" customWidth="1"/>
    <col min="2" max="2" width="29.85546875" customWidth="1"/>
    <col min="3" max="3" width="12.28515625" customWidth="1"/>
    <col min="4" max="4" width="13.85546875" customWidth="1"/>
    <col min="5" max="5" width="12.28515625" customWidth="1"/>
    <col min="6" max="6" width="20.140625" customWidth="1"/>
    <col min="7" max="7" width="18.28515625" customWidth="1"/>
    <col min="8" max="8" width="15.140625" customWidth="1"/>
    <col min="10" max="10" width="21.5703125" customWidth="1"/>
    <col min="13" max="13" width="15.140625" customWidth="1"/>
    <col min="14" max="14" width="18.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 &gt; 54, "Old", IF(L2&gt;30, "Middle age", IF(L2 &lt; 31, "Adolescent", "Invalid")))</f>
        <v>Middle age</v>
      </c>
      <c r="N2" t="s">
        <v>18</v>
      </c>
    </row>
    <row r="3" spans="1:14" x14ac:dyDescent="0.25">
      <c r="A3">
        <v>24107</v>
      </c>
      <c r="B3" t="s">
        <v>36</v>
      </c>
      <c r="C3" t="s">
        <v>38</v>
      </c>
      <c r="D3" s="1">
        <v>30000</v>
      </c>
      <c r="E3">
        <v>3</v>
      </c>
      <c r="F3" t="s">
        <v>19</v>
      </c>
      <c r="G3" t="s">
        <v>20</v>
      </c>
      <c r="H3" t="s">
        <v>15</v>
      </c>
      <c r="I3">
        <v>1</v>
      </c>
      <c r="J3" t="s">
        <v>16</v>
      </c>
      <c r="K3" t="s">
        <v>17</v>
      </c>
      <c r="L3">
        <v>43</v>
      </c>
      <c r="M3" t="str">
        <f t="shared" ref="M3:M66" si="0">IF(L3 &gt; 54, "Old", IF(L3&gt;30, "Middle age", IF(L3 &lt; 31, "Adolescent", "Invalid")))</f>
        <v>Middle age</v>
      </c>
      <c r="N3" t="s">
        <v>18</v>
      </c>
    </row>
    <row r="4" spans="1:14" x14ac:dyDescent="0.25">
      <c r="A4">
        <v>14177</v>
      </c>
      <c r="B4" t="s">
        <v>36</v>
      </c>
      <c r="C4" t="s">
        <v>38</v>
      </c>
      <c r="D4" s="1">
        <v>80000</v>
      </c>
      <c r="E4">
        <v>5</v>
      </c>
      <c r="F4" t="s">
        <v>19</v>
      </c>
      <c r="G4" t="s">
        <v>21</v>
      </c>
      <c r="H4" t="s">
        <v>18</v>
      </c>
      <c r="I4">
        <v>2</v>
      </c>
      <c r="J4" t="s">
        <v>22</v>
      </c>
      <c r="K4" t="s">
        <v>17</v>
      </c>
      <c r="L4">
        <v>60</v>
      </c>
      <c r="M4" t="str">
        <f t="shared" si="0"/>
        <v>Old</v>
      </c>
      <c r="N4" t="s">
        <v>18</v>
      </c>
    </row>
    <row r="5" spans="1:14" x14ac:dyDescent="0.25">
      <c r="A5">
        <v>24381</v>
      </c>
      <c r="B5" t="s">
        <v>37</v>
      </c>
      <c r="C5" t="s">
        <v>38</v>
      </c>
      <c r="D5" s="1">
        <v>70000</v>
      </c>
      <c r="E5">
        <v>0</v>
      </c>
      <c r="F5" t="s">
        <v>13</v>
      </c>
      <c r="G5" t="s">
        <v>21</v>
      </c>
      <c r="H5" t="s">
        <v>15</v>
      </c>
      <c r="I5">
        <v>1</v>
      </c>
      <c r="J5" t="s">
        <v>23</v>
      </c>
      <c r="K5" t="s">
        <v>24</v>
      </c>
      <c r="L5">
        <v>41</v>
      </c>
      <c r="M5" t="str">
        <f t="shared" si="0"/>
        <v>Middle age</v>
      </c>
      <c r="N5" t="s">
        <v>15</v>
      </c>
    </row>
    <row r="6" spans="1:14" x14ac:dyDescent="0.25">
      <c r="A6">
        <v>25597</v>
      </c>
      <c r="B6" t="s">
        <v>37</v>
      </c>
      <c r="C6" t="s">
        <v>38</v>
      </c>
      <c r="D6" s="1">
        <v>30000</v>
      </c>
      <c r="E6">
        <v>0</v>
      </c>
      <c r="F6" t="s">
        <v>13</v>
      </c>
      <c r="G6" t="s">
        <v>20</v>
      </c>
      <c r="H6" t="s">
        <v>18</v>
      </c>
      <c r="I6">
        <v>0</v>
      </c>
      <c r="J6" t="s">
        <v>16</v>
      </c>
      <c r="K6" t="s">
        <v>17</v>
      </c>
      <c r="L6">
        <v>36</v>
      </c>
      <c r="M6" t="str">
        <f t="shared" si="0"/>
        <v>Middle age</v>
      </c>
      <c r="N6" t="s">
        <v>15</v>
      </c>
    </row>
    <row r="7" spans="1:14" x14ac:dyDescent="0.25">
      <c r="A7">
        <v>13507</v>
      </c>
      <c r="B7" t="s">
        <v>36</v>
      </c>
      <c r="C7" t="s">
        <v>39</v>
      </c>
      <c r="D7" s="1">
        <v>10000</v>
      </c>
      <c r="E7">
        <v>2</v>
      </c>
      <c r="F7" t="s">
        <v>19</v>
      </c>
      <c r="G7" t="s">
        <v>25</v>
      </c>
      <c r="H7" t="s">
        <v>15</v>
      </c>
      <c r="I7">
        <v>0</v>
      </c>
      <c r="J7" t="s">
        <v>26</v>
      </c>
      <c r="K7" t="s">
        <v>17</v>
      </c>
      <c r="L7">
        <v>50</v>
      </c>
      <c r="M7" t="str">
        <f t="shared" si="0"/>
        <v>Middle age</v>
      </c>
      <c r="N7" t="s">
        <v>18</v>
      </c>
    </row>
    <row r="8" spans="1:14" x14ac:dyDescent="0.25">
      <c r="A8">
        <v>27974</v>
      </c>
      <c r="B8" t="s">
        <v>37</v>
      </c>
      <c r="C8" t="s">
        <v>38</v>
      </c>
      <c r="D8" s="1">
        <v>160000</v>
      </c>
      <c r="E8">
        <v>2</v>
      </c>
      <c r="F8" t="s">
        <v>27</v>
      </c>
      <c r="G8" t="s">
        <v>28</v>
      </c>
      <c r="H8" t="s">
        <v>15</v>
      </c>
      <c r="I8">
        <v>4</v>
      </c>
      <c r="J8" t="s">
        <v>16</v>
      </c>
      <c r="K8" t="s">
        <v>24</v>
      </c>
      <c r="L8">
        <v>33</v>
      </c>
      <c r="M8" t="str">
        <f t="shared" si="0"/>
        <v>Middle age</v>
      </c>
      <c r="N8" t="s">
        <v>15</v>
      </c>
    </row>
    <row r="9" spans="1:14" x14ac:dyDescent="0.25">
      <c r="A9">
        <v>19364</v>
      </c>
      <c r="B9" t="s">
        <v>36</v>
      </c>
      <c r="C9" t="s">
        <v>38</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 &gt; 54, "Old", IF(L67&gt;30, "Middle age", IF(L67 &lt; 31, "Adolescent", "Invalid")))</f>
        <v>Old</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 &gt; 54, "Old", IF(L131&gt;30, "Middle age", IF(L131 &lt; 31, "Adolescent", "Invalid")))</f>
        <v>Middle age</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1">
        <v>70000</v>
      </c>
      <c r="E195">
        <v>5</v>
      </c>
      <c r="F195" t="s">
        <v>13</v>
      </c>
      <c r="G195" t="s">
        <v>21</v>
      </c>
      <c r="H195" t="s">
        <v>15</v>
      </c>
      <c r="I195">
        <v>4</v>
      </c>
      <c r="J195" t="s">
        <v>46</v>
      </c>
      <c r="K195" t="s">
        <v>24</v>
      </c>
      <c r="L195">
        <v>41</v>
      </c>
      <c r="M195" t="str">
        <f t="shared" ref="M195:M258" si="3">IF(L195 &gt; 54, "Old", IF(L195&gt;30, "Middle age", IF(L195 &lt; 31, "Adolescent", "Invalid")))</f>
        <v>Middle age</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 &gt; 54, "Old", IF(L259&gt;30, "Middle age", IF(L259 &lt; 31, "Adolescent", "Invalid")))</f>
        <v>Middle age</v>
      </c>
      <c r="N259" t="s">
        <v>15</v>
      </c>
    </row>
    <row r="260" spans="1:14" x14ac:dyDescent="0.2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 &gt; 54, "Old", IF(L323&gt;30, "Middle age", IF(L323 &lt; 31, "Adolescent", "Invalid")))</f>
        <v>Middle age</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 &gt; 54, "Old", IF(L387&gt;30, "Middle age", IF(L387 &lt; 31, "Adolescent", "Invalid")))</f>
        <v>Middle age</v>
      </c>
      <c r="N387" t="s">
        <v>18</v>
      </c>
    </row>
    <row r="388" spans="1:14" x14ac:dyDescent="0.2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 &gt; 54, "Old", IF(L451&gt;30, "Middle age", IF(L451 &lt; 31, "Adolescent", "Invalid")))</f>
        <v>Middle age</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1">
        <v>60000</v>
      </c>
      <c r="E515">
        <v>4</v>
      </c>
      <c r="F515" t="s">
        <v>31</v>
      </c>
      <c r="G515" t="s">
        <v>28</v>
      </c>
      <c r="H515" t="s">
        <v>15</v>
      </c>
      <c r="I515">
        <v>2</v>
      </c>
      <c r="J515" t="s">
        <v>46</v>
      </c>
      <c r="K515" t="s">
        <v>32</v>
      </c>
      <c r="L515">
        <v>61</v>
      </c>
      <c r="M515" t="str">
        <f t="shared" ref="M515:M578" si="8">IF(L515 &gt; 54, "Old", IF(L515&gt;30, "Middle age", IF(L515 &lt; 31, "Adolescent", "Invalid")))</f>
        <v>Old</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 &gt; 54, "Old", IF(L579&gt;30, "Middle age", IF(L579 &lt; 31, "Adolescent", "Invalid")))</f>
        <v>Middle age</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1">
        <v>50000</v>
      </c>
      <c r="E643">
        <v>4</v>
      </c>
      <c r="F643" t="s">
        <v>13</v>
      </c>
      <c r="G643" t="s">
        <v>28</v>
      </c>
      <c r="H643" t="s">
        <v>15</v>
      </c>
      <c r="I643">
        <v>2</v>
      </c>
      <c r="J643" t="s">
        <v>46</v>
      </c>
      <c r="K643" t="s">
        <v>32</v>
      </c>
      <c r="L643">
        <v>64</v>
      </c>
      <c r="M643" t="str">
        <f t="shared" ref="M643:M706" si="10">IF(L643 &gt; 54, "Old", IF(L643&gt;30, "Middle age", IF(L643 &lt; 31, "Adolescent", "Invalid")))</f>
        <v>Old</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1">
        <v>70000</v>
      </c>
      <c r="E707">
        <v>4</v>
      </c>
      <c r="F707" t="s">
        <v>13</v>
      </c>
      <c r="G707" t="s">
        <v>28</v>
      </c>
      <c r="H707" t="s">
        <v>15</v>
      </c>
      <c r="I707">
        <v>1</v>
      </c>
      <c r="J707" t="s">
        <v>46</v>
      </c>
      <c r="K707" t="s">
        <v>32</v>
      </c>
      <c r="L707">
        <v>59</v>
      </c>
      <c r="M707" t="str">
        <f t="shared" ref="M707:M770" si="11">IF(L707 &gt; 54, "Old", IF(L707&gt;30, "Middle age", IF(L707 &lt; 31, "Adolescent", "Invalid")))</f>
        <v>Old</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 &gt; 54, "Old", IF(L771&gt;30, "Middle age", IF(L771 &lt; 31, "Adolescent", "Invalid")))</f>
        <v>Middle age</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 &gt; 54, "Old", IF(L835&gt;30, "Middle age", IF(L835 &lt; 31, "Adolescent", "Invalid")))</f>
        <v>Middle age</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 &gt; 54, "Old", IF(L899&gt;30, "Middle age", IF(L899 &lt; 31, "Adolescent", "Invalid")))</f>
        <v>Adolescent</v>
      </c>
      <c r="N899" t="s">
        <v>18</v>
      </c>
    </row>
    <row r="900" spans="1:14" x14ac:dyDescent="0.2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 &gt; 54, "Old", IF(L963&gt;30, "Middle age", IF(L963 &lt; 31, "Adolescent", "Invalid")))</f>
        <v>Old</v>
      </c>
      <c r="N963" t="s">
        <v>18</v>
      </c>
    </row>
    <row r="964" spans="1:14" x14ac:dyDescent="0.2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57A8359C-D99B-4B29-9ADB-5D05D126F8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5FE45-C536-4BA3-948F-A23ED707DA59}">
  <dimension ref="A3:D102"/>
  <sheetViews>
    <sheetView topLeftCell="A37" workbookViewId="0">
      <selection activeCell="N57" sqref="N5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1" bestFit="1" customWidth="1"/>
    <col min="6" max="6" width="27.85546875" bestFit="1" customWidth="1"/>
    <col min="7" max="7" width="16" bestFit="1" customWidth="1"/>
    <col min="8" max="8" width="11.28515625" bestFit="1" customWidth="1"/>
  </cols>
  <sheetData>
    <row r="3" spans="1:4" x14ac:dyDescent="0.25">
      <c r="A3" s="3" t="s">
        <v>44</v>
      </c>
      <c r="B3" s="3" t="s">
        <v>43</v>
      </c>
    </row>
    <row r="4" spans="1:4" x14ac:dyDescent="0.25">
      <c r="A4" s="3" t="s">
        <v>41</v>
      </c>
      <c r="B4" t="s">
        <v>18</v>
      </c>
      <c r="C4" t="s">
        <v>15</v>
      </c>
      <c r="D4" t="s">
        <v>42</v>
      </c>
    </row>
    <row r="5" spans="1:4" x14ac:dyDescent="0.25">
      <c r="A5" s="4" t="s">
        <v>39</v>
      </c>
      <c r="B5" s="5">
        <v>43913.043478260872</v>
      </c>
      <c r="C5" s="5">
        <v>45294.117647058825</v>
      </c>
      <c r="D5" s="5">
        <v>44500</v>
      </c>
    </row>
    <row r="6" spans="1:4" x14ac:dyDescent="0.25">
      <c r="A6" s="4" t="s">
        <v>38</v>
      </c>
      <c r="B6" s="5">
        <v>45925.925925925927</v>
      </c>
      <c r="C6" s="5">
        <v>53777.777777777781</v>
      </c>
      <c r="D6" s="5">
        <v>49494.949494949498</v>
      </c>
    </row>
    <row r="7" spans="1:4" x14ac:dyDescent="0.25">
      <c r="A7" s="4" t="s">
        <v>42</v>
      </c>
      <c r="B7" s="5">
        <v>45000</v>
      </c>
      <c r="C7" s="5">
        <v>50126.582278481015</v>
      </c>
      <c r="D7" s="5">
        <v>47262.569832402238</v>
      </c>
    </row>
    <row r="23" spans="1:4" x14ac:dyDescent="0.25">
      <c r="A23" s="3" t="s">
        <v>45</v>
      </c>
      <c r="B23" s="3" t="s">
        <v>43</v>
      </c>
    </row>
    <row r="24" spans="1:4" x14ac:dyDescent="0.25">
      <c r="A24" s="3" t="s">
        <v>41</v>
      </c>
      <c r="B24" t="s">
        <v>18</v>
      </c>
      <c r="C24" t="s">
        <v>15</v>
      </c>
      <c r="D24" t="s">
        <v>42</v>
      </c>
    </row>
    <row r="25" spans="1:4" x14ac:dyDescent="0.25">
      <c r="A25" s="4" t="s">
        <v>16</v>
      </c>
      <c r="B25" s="6">
        <v>15</v>
      </c>
      <c r="C25" s="6">
        <v>20</v>
      </c>
      <c r="D25" s="6">
        <v>35</v>
      </c>
    </row>
    <row r="26" spans="1:4" x14ac:dyDescent="0.25">
      <c r="A26" s="4" t="s">
        <v>26</v>
      </c>
      <c r="B26" s="6">
        <v>18</v>
      </c>
      <c r="C26" s="6">
        <v>18</v>
      </c>
      <c r="D26" s="6">
        <v>36</v>
      </c>
    </row>
    <row r="27" spans="1:4" x14ac:dyDescent="0.25">
      <c r="A27" s="4" t="s">
        <v>22</v>
      </c>
      <c r="B27" s="6">
        <v>16</v>
      </c>
      <c r="C27" s="6">
        <v>13</v>
      </c>
      <c r="D27" s="6">
        <v>29</v>
      </c>
    </row>
    <row r="28" spans="1:4" x14ac:dyDescent="0.25">
      <c r="A28" s="4" t="s">
        <v>23</v>
      </c>
      <c r="B28" s="6">
        <v>39</v>
      </c>
      <c r="C28" s="6">
        <v>19</v>
      </c>
      <c r="D28" s="6">
        <v>58</v>
      </c>
    </row>
    <row r="29" spans="1:4" x14ac:dyDescent="0.25">
      <c r="A29" s="4" t="s">
        <v>46</v>
      </c>
      <c r="B29" s="6">
        <v>12</v>
      </c>
      <c r="C29" s="6">
        <v>9</v>
      </c>
      <c r="D29" s="6">
        <v>21</v>
      </c>
    </row>
    <row r="30" spans="1:4" x14ac:dyDescent="0.25">
      <c r="A30" s="4" t="s">
        <v>42</v>
      </c>
      <c r="B30" s="6">
        <v>100</v>
      </c>
      <c r="C30" s="6">
        <v>79</v>
      </c>
      <c r="D30" s="6">
        <v>179</v>
      </c>
    </row>
    <row r="42" spans="1:4" x14ac:dyDescent="0.25">
      <c r="A42" s="3" t="s">
        <v>45</v>
      </c>
      <c r="B42" s="3" t="s">
        <v>43</v>
      </c>
    </row>
    <row r="43" spans="1:4" x14ac:dyDescent="0.25">
      <c r="A43" s="3" t="s">
        <v>41</v>
      </c>
      <c r="B43" t="s">
        <v>18</v>
      </c>
      <c r="C43" t="s">
        <v>15</v>
      </c>
      <c r="D43" t="s">
        <v>42</v>
      </c>
    </row>
    <row r="44" spans="1:4" x14ac:dyDescent="0.25">
      <c r="A44" s="4" t="s">
        <v>47</v>
      </c>
      <c r="B44" s="6">
        <v>23</v>
      </c>
      <c r="C44" s="6">
        <v>9</v>
      </c>
      <c r="D44" s="6">
        <v>32</v>
      </c>
    </row>
    <row r="45" spans="1:4" x14ac:dyDescent="0.25">
      <c r="A45" s="4" t="s">
        <v>48</v>
      </c>
      <c r="B45" s="6">
        <v>53</v>
      </c>
      <c r="C45" s="6">
        <v>59</v>
      </c>
      <c r="D45" s="6">
        <v>112</v>
      </c>
    </row>
    <row r="46" spans="1:4" x14ac:dyDescent="0.25">
      <c r="A46" s="4" t="s">
        <v>49</v>
      </c>
      <c r="B46" s="6">
        <v>24</v>
      </c>
      <c r="C46" s="6">
        <v>11</v>
      </c>
      <c r="D46" s="6">
        <v>35</v>
      </c>
    </row>
    <row r="47" spans="1:4" x14ac:dyDescent="0.25">
      <c r="A47" s="4" t="s">
        <v>42</v>
      </c>
      <c r="B47" s="6">
        <v>100</v>
      </c>
      <c r="C47" s="6">
        <v>79</v>
      </c>
      <c r="D47" s="6">
        <v>179</v>
      </c>
    </row>
    <row r="60" spans="1:4" x14ac:dyDescent="0.25">
      <c r="A60" s="3" t="s">
        <v>45</v>
      </c>
      <c r="B60" s="3" t="s">
        <v>43</v>
      </c>
    </row>
    <row r="61" spans="1:4" x14ac:dyDescent="0.25">
      <c r="A61" s="3" t="s">
        <v>41</v>
      </c>
      <c r="B61" t="s">
        <v>18</v>
      </c>
      <c r="C61" t="s">
        <v>15</v>
      </c>
      <c r="D61" t="s">
        <v>42</v>
      </c>
    </row>
    <row r="62" spans="1:4" x14ac:dyDescent="0.25">
      <c r="A62" s="4">
        <v>25</v>
      </c>
      <c r="B62" s="6"/>
      <c r="C62" s="6">
        <v>1</v>
      </c>
      <c r="D62" s="6">
        <v>1</v>
      </c>
    </row>
    <row r="63" spans="1:4" x14ac:dyDescent="0.25">
      <c r="A63" s="4">
        <v>26</v>
      </c>
      <c r="B63" s="6">
        <v>3</v>
      </c>
      <c r="C63" s="6"/>
      <c r="D63" s="6">
        <v>3</v>
      </c>
    </row>
    <row r="64" spans="1:4" x14ac:dyDescent="0.25">
      <c r="A64" s="4">
        <v>27</v>
      </c>
      <c r="B64" s="6">
        <v>5</v>
      </c>
      <c r="C64" s="6">
        <v>3</v>
      </c>
      <c r="D64" s="6">
        <v>8</v>
      </c>
    </row>
    <row r="65" spans="1:4" x14ac:dyDescent="0.25">
      <c r="A65" s="4">
        <v>28</v>
      </c>
      <c r="B65" s="6">
        <v>3</v>
      </c>
      <c r="C65" s="6">
        <v>5</v>
      </c>
      <c r="D65" s="6">
        <v>8</v>
      </c>
    </row>
    <row r="66" spans="1:4" x14ac:dyDescent="0.25">
      <c r="A66" s="4">
        <v>29</v>
      </c>
      <c r="B66" s="6">
        <v>3</v>
      </c>
      <c r="C66" s="6"/>
      <c r="D66" s="6">
        <v>3</v>
      </c>
    </row>
    <row r="67" spans="1:4" x14ac:dyDescent="0.25">
      <c r="A67" s="4">
        <v>30</v>
      </c>
      <c r="B67" s="6">
        <v>9</v>
      </c>
      <c r="C67" s="6"/>
      <c r="D67" s="6">
        <v>9</v>
      </c>
    </row>
    <row r="68" spans="1:4" x14ac:dyDescent="0.25">
      <c r="A68" s="4">
        <v>31</v>
      </c>
      <c r="B68" s="6">
        <v>8</v>
      </c>
      <c r="C68" s="6">
        <v>3</v>
      </c>
      <c r="D68" s="6">
        <v>11</v>
      </c>
    </row>
    <row r="69" spans="1:4" x14ac:dyDescent="0.25">
      <c r="A69" s="4">
        <v>32</v>
      </c>
      <c r="B69" s="6">
        <v>3</v>
      </c>
      <c r="C69" s="6">
        <v>2</v>
      </c>
      <c r="D69" s="6">
        <v>5</v>
      </c>
    </row>
    <row r="70" spans="1:4" x14ac:dyDescent="0.25">
      <c r="A70" s="4">
        <v>33</v>
      </c>
      <c r="B70" s="6"/>
      <c r="C70" s="6">
        <v>2</v>
      </c>
      <c r="D70" s="6">
        <v>2</v>
      </c>
    </row>
    <row r="71" spans="1:4" x14ac:dyDescent="0.25">
      <c r="A71" s="4">
        <v>34</v>
      </c>
      <c r="B71" s="6">
        <v>1</v>
      </c>
      <c r="C71" s="6">
        <v>4</v>
      </c>
      <c r="D71" s="6">
        <v>5</v>
      </c>
    </row>
    <row r="72" spans="1:4" x14ac:dyDescent="0.25">
      <c r="A72" s="4">
        <v>35</v>
      </c>
      <c r="B72" s="6">
        <v>3</v>
      </c>
      <c r="C72" s="6">
        <v>2</v>
      </c>
      <c r="D72" s="6">
        <v>5</v>
      </c>
    </row>
    <row r="73" spans="1:4" x14ac:dyDescent="0.25">
      <c r="A73" s="4">
        <v>36</v>
      </c>
      <c r="B73" s="6"/>
      <c r="C73" s="6">
        <v>2</v>
      </c>
      <c r="D73" s="6">
        <v>2</v>
      </c>
    </row>
    <row r="74" spans="1:4" x14ac:dyDescent="0.25">
      <c r="A74" s="4">
        <v>37</v>
      </c>
      <c r="B74" s="6"/>
      <c r="C74" s="6">
        <v>2</v>
      </c>
      <c r="D74" s="6">
        <v>2</v>
      </c>
    </row>
    <row r="75" spans="1:4" x14ac:dyDescent="0.25">
      <c r="A75" s="4">
        <v>38</v>
      </c>
      <c r="B75" s="6">
        <v>1</v>
      </c>
      <c r="C75" s="6">
        <v>2</v>
      </c>
      <c r="D75" s="6">
        <v>3</v>
      </c>
    </row>
    <row r="76" spans="1:4" x14ac:dyDescent="0.25">
      <c r="A76" s="4">
        <v>39</v>
      </c>
      <c r="B76" s="6"/>
      <c r="C76" s="6">
        <v>1</v>
      </c>
      <c r="D76" s="6">
        <v>1</v>
      </c>
    </row>
    <row r="77" spans="1:4" x14ac:dyDescent="0.25">
      <c r="A77" s="4">
        <v>40</v>
      </c>
      <c r="B77" s="6">
        <v>1</v>
      </c>
      <c r="C77" s="6">
        <v>3</v>
      </c>
      <c r="D77" s="6">
        <v>4</v>
      </c>
    </row>
    <row r="78" spans="1:4" x14ac:dyDescent="0.25">
      <c r="A78" s="4">
        <v>41</v>
      </c>
      <c r="B78" s="6"/>
      <c r="C78" s="6">
        <v>1</v>
      </c>
      <c r="D78" s="6">
        <v>1</v>
      </c>
    </row>
    <row r="79" spans="1:4" x14ac:dyDescent="0.25">
      <c r="A79" s="4">
        <v>42</v>
      </c>
      <c r="B79" s="6">
        <v>2</v>
      </c>
      <c r="C79" s="6">
        <v>1</v>
      </c>
      <c r="D79" s="6">
        <v>3</v>
      </c>
    </row>
    <row r="80" spans="1:4" x14ac:dyDescent="0.25">
      <c r="A80" s="4">
        <v>43</v>
      </c>
      <c r="B80" s="6">
        <v>2</v>
      </c>
      <c r="C80" s="6">
        <v>1</v>
      </c>
      <c r="D80" s="6">
        <v>3</v>
      </c>
    </row>
    <row r="81" spans="1:4" x14ac:dyDescent="0.25">
      <c r="A81" s="4">
        <v>44</v>
      </c>
      <c r="B81" s="6"/>
      <c r="C81" s="6">
        <v>2</v>
      </c>
      <c r="D81" s="6">
        <v>2</v>
      </c>
    </row>
    <row r="82" spans="1:4" x14ac:dyDescent="0.25">
      <c r="A82" s="4">
        <v>45</v>
      </c>
      <c r="B82" s="6">
        <v>3</v>
      </c>
      <c r="C82" s="6">
        <v>1</v>
      </c>
      <c r="D82" s="6">
        <v>4</v>
      </c>
    </row>
    <row r="83" spans="1:4" x14ac:dyDescent="0.25">
      <c r="A83" s="4">
        <v>46</v>
      </c>
      <c r="B83" s="6">
        <v>1</v>
      </c>
      <c r="C83" s="6">
        <v>2</v>
      </c>
      <c r="D83" s="6">
        <v>3</v>
      </c>
    </row>
    <row r="84" spans="1:4" x14ac:dyDescent="0.25">
      <c r="A84" s="4">
        <v>48</v>
      </c>
      <c r="B84" s="6">
        <v>3</v>
      </c>
      <c r="C84" s="6">
        <v>2</v>
      </c>
      <c r="D84" s="6">
        <v>5</v>
      </c>
    </row>
    <row r="85" spans="1:4" x14ac:dyDescent="0.25">
      <c r="A85" s="4">
        <v>49</v>
      </c>
      <c r="B85" s="6">
        <v>5</v>
      </c>
      <c r="C85" s="6">
        <v>2</v>
      </c>
      <c r="D85" s="6">
        <v>7</v>
      </c>
    </row>
    <row r="86" spans="1:4" x14ac:dyDescent="0.25">
      <c r="A86" s="4">
        <v>50</v>
      </c>
      <c r="B86" s="6">
        <v>5</v>
      </c>
      <c r="C86" s="6">
        <v>7</v>
      </c>
      <c r="D86" s="6">
        <v>12</v>
      </c>
    </row>
    <row r="87" spans="1:4" x14ac:dyDescent="0.25">
      <c r="A87" s="4">
        <v>51</v>
      </c>
      <c r="B87" s="6">
        <v>6</v>
      </c>
      <c r="C87" s="6">
        <v>4</v>
      </c>
      <c r="D87" s="6">
        <v>10</v>
      </c>
    </row>
    <row r="88" spans="1:4" x14ac:dyDescent="0.25">
      <c r="A88" s="4">
        <v>52</v>
      </c>
      <c r="B88" s="6">
        <v>3</v>
      </c>
      <c r="C88" s="6">
        <v>3</v>
      </c>
      <c r="D88" s="6">
        <v>6</v>
      </c>
    </row>
    <row r="89" spans="1:4" x14ac:dyDescent="0.25">
      <c r="A89" s="4">
        <v>53</v>
      </c>
      <c r="B89" s="6">
        <v>5</v>
      </c>
      <c r="C89" s="6">
        <v>4</v>
      </c>
      <c r="D89" s="6">
        <v>9</v>
      </c>
    </row>
    <row r="90" spans="1:4" x14ac:dyDescent="0.25">
      <c r="A90" s="4">
        <v>54</v>
      </c>
      <c r="B90" s="6">
        <v>1</v>
      </c>
      <c r="C90" s="6">
        <v>6</v>
      </c>
      <c r="D90" s="6">
        <v>7</v>
      </c>
    </row>
    <row r="91" spans="1:4" x14ac:dyDescent="0.25">
      <c r="A91" s="4">
        <v>55</v>
      </c>
      <c r="B91" s="6">
        <v>6</v>
      </c>
      <c r="C91" s="6">
        <v>1</v>
      </c>
      <c r="D91" s="6">
        <v>7</v>
      </c>
    </row>
    <row r="92" spans="1:4" x14ac:dyDescent="0.25">
      <c r="A92" s="4">
        <v>56</v>
      </c>
      <c r="B92" s="6">
        <v>2</v>
      </c>
      <c r="C92" s="6">
        <v>2</v>
      </c>
      <c r="D92" s="6">
        <v>4</v>
      </c>
    </row>
    <row r="93" spans="1:4" x14ac:dyDescent="0.25">
      <c r="A93" s="4">
        <v>57</v>
      </c>
      <c r="B93" s="6">
        <v>2</v>
      </c>
      <c r="C93" s="6"/>
      <c r="D93" s="6">
        <v>2</v>
      </c>
    </row>
    <row r="94" spans="1:4" x14ac:dyDescent="0.25">
      <c r="A94" s="4">
        <v>58</v>
      </c>
      <c r="B94" s="6">
        <v>1</v>
      </c>
      <c r="C94" s="6">
        <v>3</v>
      </c>
      <c r="D94" s="6">
        <v>4</v>
      </c>
    </row>
    <row r="95" spans="1:4" x14ac:dyDescent="0.25">
      <c r="A95" s="4">
        <v>59</v>
      </c>
      <c r="B95" s="6">
        <v>1</v>
      </c>
      <c r="C95" s="6">
        <v>1</v>
      </c>
      <c r="D95" s="6">
        <v>2</v>
      </c>
    </row>
    <row r="96" spans="1:4" x14ac:dyDescent="0.25">
      <c r="A96" s="4">
        <v>60</v>
      </c>
      <c r="B96" s="6">
        <v>4</v>
      </c>
      <c r="C96" s="6">
        <v>2</v>
      </c>
      <c r="D96" s="6">
        <v>6</v>
      </c>
    </row>
    <row r="97" spans="1:4" x14ac:dyDescent="0.25">
      <c r="A97" s="4">
        <v>61</v>
      </c>
      <c r="B97" s="6">
        <v>2</v>
      </c>
      <c r="C97" s="6">
        <v>1</v>
      </c>
      <c r="D97" s="6">
        <v>3</v>
      </c>
    </row>
    <row r="98" spans="1:4" x14ac:dyDescent="0.25">
      <c r="A98" s="4">
        <v>62</v>
      </c>
      <c r="B98" s="6">
        <v>3</v>
      </c>
      <c r="C98" s="6">
        <v>1</v>
      </c>
      <c r="D98" s="6">
        <v>4</v>
      </c>
    </row>
    <row r="99" spans="1:4" x14ac:dyDescent="0.25">
      <c r="A99" s="4">
        <v>64</v>
      </c>
      <c r="B99" s="6">
        <v>1</v>
      </c>
      <c r="C99" s="6"/>
      <c r="D99" s="6">
        <v>1</v>
      </c>
    </row>
    <row r="100" spans="1:4" x14ac:dyDescent="0.25">
      <c r="A100" s="4">
        <v>69</v>
      </c>
      <c r="B100" s="6">
        <v>1</v>
      </c>
      <c r="C100" s="6"/>
      <c r="D100" s="6">
        <v>1</v>
      </c>
    </row>
    <row r="101" spans="1:4" x14ac:dyDescent="0.25">
      <c r="A101" s="4">
        <v>78</v>
      </c>
      <c r="B101" s="6">
        <v>1</v>
      </c>
      <c r="C101" s="6"/>
      <c r="D101" s="6">
        <v>1</v>
      </c>
    </row>
    <row r="102" spans="1:4" x14ac:dyDescent="0.25">
      <c r="A102" s="4" t="s">
        <v>42</v>
      </c>
      <c r="B102" s="6">
        <v>100</v>
      </c>
      <c r="C102" s="6">
        <v>79</v>
      </c>
      <c r="D102" s="6">
        <v>179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9B7E2-41AE-48CB-89CD-89B0D038BC8B}">
  <dimension ref="A1:R6"/>
  <sheetViews>
    <sheetView showGridLines="0" tabSelected="1" zoomScale="85" zoomScaleNormal="85" workbookViewId="0">
      <selection activeCell="U31" sqref="U31"/>
    </sheetView>
  </sheetViews>
  <sheetFormatPr defaultRowHeight="15" x14ac:dyDescent="0.25"/>
  <sheetData>
    <row r="1" spans="1:18" ht="15" customHeight="1" x14ac:dyDescent="0.25">
      <c r="A1" s="7" t="s">
        <v>50</v>
      </c>
      <c r="B1" s="7"/>
      <c r="C1" s="7"/>
      <c r="D1" s="7"/>
      <c r="E1" s="7"/>
      <c r="F1" s="7"/>
      <c r="G1" s="7"/>
      <c r="H1" s="7"/>
      <c r="I1" s="7"/>
      <c r="J1" s="7"/>
      <c r="K1" s="7"/>
      <c r="L1" s="7"/>
      <c r="M1" s="7"/>
      <c r="N1" s="7"/>
      <c r="O1" s="7"/>
      <c r="P1" s="7"/>
      <c r="Q1" s="7"/>
      <c r="R1" s="7"/>
    </row>
    <row r="2" spans="1:18" x14ac:dyDescent="0.25">
      <c r="A2" s="7"/>
      <c r="B2" s="7"/>
      <c r="C2" s="7"/>
      <c r="D2" s="7"/>
      <c r="E2" s="7"/>
      <c r="F2" s="7"/>
      <c r="G2" s="7"/>
      <c r="H2" s="7"/>
      <c r="I2" s="7"/>
      <c r="J2" s="7"/>
      <c r="K2" s="7"/>
      <c r="L2" s="7"/>
      <c r="M2" s="7"/>
      <c r="N2" s="7"/>
      <c r="O2" s="7"/>
      <c r="P2" s="7"/>
      <c r="Q2" s="7"/>
      <c r="R2" s="7"/>
    </row>
    <row r="3" spans="1:18" x14ac:dyDescent="0.25">
      <c r="A3" s="7"/>
      <c r="B3" s="7"/>
      <c r="C3" s="7"/>
      <c r="D3" s="7"/>
      <c r="E3" s="7"/>
      <c r="F3" s="7"/>
      <c r="G3" s="7"/>
      <c r="H3" s="7"/>
      <c r="I3" s="7"/>
      <c r="J3" s="7"/>
      <c r="K3" s="7"/>
      <c r="L3" s="7"/>
      <c r="M3" s="7"/>
      <c r="N3" s="7"/>
      <c r="O3" s="7"/>
      <c r="P3" s="7"/>
      <c r="Q3" s="7"/>
      <c r="R3" s="7"/>
    </row>
    <row r="4" spans="1:18" x14ac:dyDescent="0.25">
      <c r="A4" s="7"/>
      <c r="B4" s="7"/>
      <c r="C4" s="7"/>
      <c r="D4" s="7"/>
      <c r="E4" s="7"/>
      <c r="F4" s="7"/>
      <c r="G4" s="7"/>
      <c r="H4" s="7"/>
      <c r="I4" s="7"/>
      <c r="J4" s="7"/>
      <c r="K4" s="7"/>
      <c r="L4" s="7"/>
      <c r="M4" s="7"/>
      <c r="N4" s="7"/>
      <c r="O4" s="7"/>
      <c r="P4" s="7"/>
      <c r="Q4" s="7"/>
      <c r="R4" s="7"/>
    </row>
    <row r="5" spans="1:18" x14ac:dyDescent="0.25">
      <c r="A5" s="7"/>
      <c r="B5" s="7"/>
      <c r="C5" s="7"/>
      <c r="D5" s="7"/>
      <c r="E5" s="7"/>
      <c r="F5" s="7"/>
      <c r="G5" s="7"/>
      <c r="H5" s="7"/>
      <c r="I5" s="7"/>
      <c r="J5" s="7"/>
      <c r="K5" s="7"/>
      <c r="L5" s="7"/>
      <c r="M5" s="7"/>
      <c r="N5" s="7"/>
      <c r="O5" s="7"/>
      <c r="P5" s="7"/>
      <c r="Q5" s="7"/>
      <c r="R5" s="7"/>
    </row>
    <row r="6" spans="1:18" x14ac:dyDescent="0.25">
      <c r="A6" s="7"/>
      <c r="B6" s="7"/>
      <c r="C6" s="7"/>
      <c r="D6" s="7"/>
      <c r="E6" s="7"/>
      <c r="F6" s="7"/>
      <c r="G6" s="7"/>
      <c r="H6" s="7"/>
      <c r="I6" s="7"/>
      <c r="J6" s="7"/>
      <c r="K6" s="7"/>
      <c r="L6" s="7"/>
      <c r="M6" s="7"/>
      <c r="N6" s="7"/>
      <c r="O6" s="7"/>
      <c r="P6" s="7"/>
      <c r="Q6" s="7"/>
      <c r="R6" s="7"/>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Kovács Domonkos</cp:lastModifiedBy>
  <dcterms:created xsi:type="dcterms:W3CDTF">2022-03-18T02:50:57Z</dcterms:created>
  <dcterms:modified xsi:type="dcterms:W3CDTF">2026-09-22T18:31:43Z</dcterms:modified>
</cp:coreProperties>
</file>